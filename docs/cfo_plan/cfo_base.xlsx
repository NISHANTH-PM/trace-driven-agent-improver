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cenario comparison" sheetId="1" r:id="rId1"/>
    <sheet name="Model inputs" sheetId="2" r:id="rId2"/>
  </sheets>
  <calcPr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#,##0.###;(#,##0.###)"/>
    <numFmt numFmtId="165" formatCode="&quot;$&quot;#,##0.00;(&quot;$&quot;#,##0.00)"/>
    <numFmt numFmtId="166" formatCode="0.00%"/>
    <numFmt numFmtId="167" formatCode="&quot;$&quot;#,##0.00000;(&quot;$&quot;#,##0.00000)"/>
    <numFmt numFmtId="168" formatCode="&quot;$&quot;#,##0;(&quot;$&quot;#,##0)"/>
    <numFmt numFmtId="169" formatCode="0.0%"/>
    <numFmt numFmtId="170" formatCode="&quot;$&quot;#,##0.0000;(&quot;$&quot;#,##0.0000)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sz val="10"/>
      <color rgb="FF817B73"/>
      <name val="Aptos"/>
    </font>
  </fonts>
  <fills count="6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5" fontId="0" fillId="0" borderId="0" xfId="0" applyNumberFormat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4" fontId="0" fillId="0" borderId="0" xfId="0" applyNumberFormat="1" applyAlignment="1">
      <alignment vertical="center" horizontal="right"/>
    </xf>
    <xf numFmtId="0" fontId="3" fillId="4" borderId="1" xfId="0" applyFill="1" applyFont="1" applyBorder="1"/>
    <xf numFmtId="0" fontId="3" fillId="5" borderId="0" xfId="0" applyFill="1" applyFont="1" applyAlignment="1">
      <alignment vertical="center" horizontal="left"/>
    </xf>
    <xf numFmtId="167" fontId="0" fillId="0" borderId="0" xfId="0" applyNumberFormat="1" applyAlignment="1">
      <alignment vertical="center" horizontal="right"/>
    </xf>
    <xf numFmtId="168" fontId="0" fillId="0" borderId="0" xfId="0" applyNumberFormat="1" applyAlignment="1">
      <alignment vertical="center" horizontal="right"/>
    </xf>
    <xf numFmtId="165" fontId="3" fillId="4" borderId="1" xfId="0" applyNumberFormat="1" applyFill="1" applyFont="1" applyBorder="1" applyAlignment="1">
      <alignment vertical="center" horizontal="right"/>
    </xf>
    <xf numFmtId="0" fontId="0" fillId="5" borderId="0" xfId="0" applyFill="1" applyAlignment="1">
      <alignment vertical="center" horizontal="left" indent="1"/>
    </xf>
    <xf numFmtId="169" fontId="3" fillId="4" borderId="1" xfId="0" applyNumberFormat="1" applyFill="1" applyFont="1" applyBorder="1" applyAlignment="1">
      <alignment vertical="center" horizontal="right"/>
    </xf>
    <xf numFmtId="169" fontId="0" fillId="0" borderId="0" xfId="0" applyNumberFormat="1" applyAlignment="1">
      <alignment vertical="center" horizontal="right"/>
    </xf>
    <xf numFmtId="170" fontId="0" fillId="0" borderId="0" xfId="0" applyNumberFormat="1" applyAlignment="1">
      <alignment vertical="center" horizontal="right"/>
    </xf>
    <xf numFmtId="0" fontId="4" fillId="0" borderId="0" xfId="0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D13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</cols>
  <sheetData>
    <row r="1" ht="32" customHeight="1">
      <c r="A1" t="inlineStr" s="1">
        <is>
          <t xml:space="preserve">Scenario comparison</t>
        </is>
      </c>
    </row>
    <row r="2" ht="20" customHeight="1">
      <c r="A2" t="inlineStr" s="2">
        <is>
          <t xml:space="preserve">Business plan · Base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  <c r="C4" t="inlineStr" s="4">
        <is>
          <t xml:space="preserve">Value &gt; Growth</t>
        </is>
      </c>
      <c r="D4" t="inlineStr" s="4">
        <is>
          <t xml:space="preserve">Value &gt; Low-volume stress</t>
        </is>
      </c>
    </row>
    <row r="5">
      <c r="A5" t="inlineStr" s="5">
        <is>
          <t xml:space="preserve">Monthly briefing volume</t>
        </is>
      </c>
      <c r="B5" s="6">
        <f>100</f>
        <v>100</v>
      </c>
      <c r="C5" s="6">
        <f>1000</f>
        <v>1000</v>
      </c>
      <c r="D5" s="6">
        <f>10</f>
        <v>10</v>
      </c>
    </row>
    <row r="6">
      <c r="A6" t="inlineStr" s="7">
        <is>
          <t xml:space="preserve">Modeled monthly revenue</t>
        </is>
      </c>
      <c r="B6" s="8">
        <f>'Scenario comparison'!B5*'Model inputs'!B6</f>
        <v>88</v>
      </c>
      <c r="C6" s="8">
        <f>'Scenario comparison'!C5*'Model inputs'!B7</f>
        <v>880</v>
      </c>
      <c r="D6" s="8">
        <f>'Scenario comparison'!D5*'Model inputs'!B8</f>
        <v>8.8</v>
      </c>
    </row>
    <row r="7">
      <c r="A7" t="inlineStr" s="7">
        <is>
          <t xml:space="preserve">Modeled monthly variable cost</t>
        </is>
      </c>
      <c r="B7" s="8">
        <f>'Scenario comparison'!B5*'Model inputs'!B24</f>
        <v>5.213</v>
      </c>
      <c r="C7" s="8">
        <f>'Scenario comparison'!C5*'Model inputs'!B25</f>
        <v>52.13</v>
      </c>
      <c r="D7" s="8">
        <f>'Scenario comparison'!D5*'Model inputs'!B26</f>
        <v>0.5213</v>
      </c>
    </row>
    <row r="8">
      <c r="A8" t="inlineStr" s="7">
        <is>
          <t xml:space="preserve">Monthly fixed costs</t>
        </is>
      </c>
      <c r="B8" s="8">
        <f>'Model inputs'!B15+'Model inputs'!B18</f>
        <v>15</v>
      </c>
      <c r="C8" s="8">
        <f>'Model inputs'!B16+'Model inputs'!B19</f>
        <v>15</v>
      </c>
      <c r="D8" s="8">
        <f>'Model inputs'!B17+'Model inputs'!B20</f>
        <v>15</v>
      </c>
    </row>
    <row r="9">
      <c r="A9" t="inlineStr" s="7">
        <is>
          <t xml:space="preserve">Modeled monthly profit</t>
        </is>
      </c>
      <c r="B9" s="8">
        <f>'Model inputs'!B12-'Scenario comparison'!B8</f>
        <v>67.787</v>
      </c>
      <c r="C9" s="8">
        <f>'Model inputs'!B13-'Scenario comparison'!C8</f>
        <v>812.87</v>
      </c>
      <c r="D9" s="8">
        <f>'Model inputs'!B14-'Scenario comparison'!D8</f>
        <v>-6.721299999999999</v>
      </c>
    </row>
    <row r="10">
      <c r="A10" t="inlineStr" s="7">
        <is>
          <t xml:space="preserve">Blended gross margin</t>
        </is>
      </c>
      <c r="B10" s="9">
        <f>IFERROR('Model inputs'!B9/'Model inputs'!B6,"")</f>
        <v>0.9407613636363636</v>
      </c>
      <c r="C10" s="9">
        <f>IFERROR('Model inputs'!B10/'Model inputs'!B7,"")</f>
        <v>0.9407613636363636</v>
      </c>
      <c r="D10" s="9">
        <f>IFERROR('Model inputs'!B11/'Model inputs'!B8,"")</f>
        <v>0.9407613636363636</v>
      </c>
    </row>
    <row r="11">
      <c r="A11" t="inlineStr" s="7">
        <is>
          <t xml:space="preserve">Break-even briefings</t>
        </is>
      </c>
      <c r="B11" s="10">
        <f>IF(IF(IF(ISERROR('Model inputs'!B9&gt;0),'Model inputs'!B9&gt;0,IF('Model inputs'!B9="","",'Model inputs'!B9&gt;0))="",FALSE,IF(ISERROR('Model inputs'!B9&gt;0),'Model inputs'!B9&gt;0,IF('Model inputs'!B9="","",'Model inputs'!B9&gt;0))),CEILING('Scenario comparison'!B8/'Model inputs'!B9,1),"")</f>
        <v>19</v>
      </c>
      <c r="C11" s="10">
        <f>IF(IF(IF(ISERROR('Model inputs'!B10&gt;0),'Model inputs'!B10&gt;0,IF('Model inputs'!B10="","",'Model inputs'!B10&gt;0))="",FALSE,IF(ISERROR('Model inputs'!B10&gt;0),'Model inputs'!B10&gt;0,IF('Model inputs'!B10="","",'Model inputs'!B10&gt;0))),CEILING('Scenario comparison'!C8/'Model inputs'!B10,1),"")</f>
        <v>19</v>
      </c>
      <c r="D11" s="10">
        <f>IF(IF(IF(ISERROR('Model inputs'!B11&gt;0),'Model inputs'!B11&gt;0,IF('Model inputs'!B11="","",'Model inputs'!B11&gt;0))="",FALSE,IF(ISERROR('Model inputs'!B11&gt;0),'Model inputs'!B11&gt;0,IF('Model inputs'!B11="","",'Model inputs'!B11&gt;0))),CEILING('Scenario comparison'!D8/'Model inputs'!B11,1),"")</f>
        <v>19</v>
      </c>
    </row>
    <row r="12">
      <c r="A12" t="inlineStr" s="7">
        <is>
          <t xml:space="preserve">Runway months</t>
        </is>
      </c>
      <c r="B12" t="str" s="10">
        <f>IF(IF(IF(ISERROR('Scenario comparison'!B9&lt;0),'Scenario comparison'!B9&lt;0,IF('Scenario comparison'!B9="","",'Scenario comparison'!B9&lt;0))="",FALSE,IF(ISERROR('Scenario comparison'!B9&lt;0),'Scenario comparison'!B9&lt;0,IF('Scenario comparison'!B9="","",'Scenario comparison'!B9&lt;0))),'Model inputs'!B21/(-'Scenario comparison'!B9),"")</f>
        <v/>
      </c>
      <c r="C12" t="str" s="10">
        <f>IF(IF(IF(ISERROR('Scenario comparison'!C9&lt;0),'Scenario comparison'!C9&lt;0,IF('Scenario comparison'!C9="","",'Scenario comparison'!C9&lt;0))="",FALSE,IF(ISERROR('Scenario comparison'!C9&lt;0),'Scenario comparison'!C9&lt;0,IF('Scenario comparison'!C9="","",'Scenario comparison'!C9&lt;0))),'Model inputs'!B22/(-'Scenario comparison'!C9),"")</f>
        <v/>
      </c>
      <c r="D12" s="10">
        <f>IF(IF(IF(ISERROR('Scenario comparison'!D9&lt;0),'Scenario comparison'!D9&lt;0,IF('Scenario comparison'!D9="","",'Scenario comparison'!D9&lt;0))="",FALSE,IF(ISERROR('Scenario comparison'!D9&lt;0),'Scenario comparison'!D9&lt;0,IF('Scenario comparison'!D9="","",'Scenario comparison'!D9&lt;0))),'Model inputs'!B23/(-'Scenario comparison'!D9),"")</f>
        <v>297.56148364155746</v>
      </c>
    </row>
    <row r="13">
      <c r="A13" t="inlineStr" s="5">
        <is>
          <t xml:space="preserve">Runway interpretation</t>
        </is>
      </c>
      <c r="B13" t="str" s="6">
        <f>IF(IF(IF(ISERROR('Scenario comparison'!B9&lt;0),'Scenario comparison'!B9&lt;0,IF('Scenario comparison'!B9="","",'Scenario comparison'!B9&lt;0))="",FALSE,IF(ISERROR('Scenario comparison'!B9&lt;0),'Scenario comparison'!B9&lt;0,IF('Scenario comparison'!B9="","",'Scenario comparison'!B9&lt;0))),"Finite runway at constant monthly burn","No finite exhaustion runway at nonnegative cash flow")</f>
        <v>No finite exhaustion runway at nonnegative cash flow</v>
      </c>
      <c r="C13" t="str" s="6">
        <f>IF(IF(IF(ISERROR('Scenario comparison'!C9&lt;0),'Scenario comparison'!C9&lt;0,IF('Scenario comparison'!C9="","",'Scenario comparison'!C9&lt;0))="",FALSE,IF(ISERROR('Scenario comparison'!C9&lt;0),'Scenario comparison'!C9&lt;0,IF('Scenario comparison'!C9="","",'Scenario comparison'!C9&lt;0))),"Finite runway at constant monthly burn","No finite exhaustion runway at nonnegative cash flow")</f>
        <v>No finite exhaustion runway at nonnegative cash flow</v>
      </c>
      <c r="D13" t="str" s="6">
        <f>IF(IF(IF(ISERROR('Scenario comparison'!D9&lt;0),'Scenario comparison'!D9&lt;0,IF('Scenario comparison'!D9="","",'Scenario comparison'!D9&lt;0))="",FALSE,IF(ISERROR('Scenario comparison'!D9&lt;0),'Scenario comparison'!D9&lt;0,IF('Scenario comparison'!D9="","",'Scenario comparison'!D9&lt;0))),"Finite runway at constant monthly burn","No finite exhaustion runway at nonnegative cash flow")</f>
        <v>Finite runway at constant monthly burn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>
  <dimension ref="A1:C68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11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4">
        <is>
          <t xml:space="preserve">Value</t>
        </is>
      </c>
    </row>
    <row r="6">
      <c r="A6" t="inlineStr" s="12">
        <is>
          <t xml:space="preserve">Blended price per briefing · Base</t>
        </is>
      </c>
      <c r="B6" s="13">
        <f>'Model inputs'!B35*'Model inputs'!B44+'Model inputs'!B34*'Model inputs'!B43</f>
        <v>0.88</v>
      </c>
    </row>
    <row r="7">
      <c r="A7" t="inlineStr" s="12">
        <is>
          <t xml:space="preserve">Blended price per briefing · Growth</t>
        </is>
      </c>
      <c r="B7" s="13">
        <f>'Model inputs'!B38*'Model inputs'!B47+'Model inputs'!B37*'Model inputs'!B46</f>
        <v>0.88</v>
      </c>
    </row>
    <row r="8">
      <c r="A8" t="inlineStr" s="12">
        <is>
          <t xml:space="preserve">Blended price per briefing · Low-volume stress</t>
        </is>
      </c>
      <c r="B8" s="13">
        <f>'Model inputs'!B41*'Model inputs'!B50+'Model inputs'!B40*'Model inputs'!B49</f>
        <v>0.88</v>
      </c>
    </row>
    <row r="9">
      <c r="A9" t="inlineStr" s="12">
        <is>
          <t xml:space="preserve">Contribution per briefing · Base</t>
        </is>
      </c>
      <c r="B9" s="13">
        <f>'Model inputs'!B6-'Model inputs'!B24</f>
        <v>0.82787</v>
      </c>
    </row>
    <row r="10">
      <c r="A10" t="inlineStr" s="12">
        <is>
          <t xml:space="preserve">Contribution per briefing · Growth</t>
        </is>
      </c>
      <c r="B10" s="13">
        <f>'Model inputs'!B7-'Model inputs'!B25</f>
        <v>0.82787</v>
      </c>
    </row>
    <row r="11">
      <c r="A11" t="inlineStr" s="12">
        <is>
          <t xml:space="preserve">Contribution per briefing · Low-volume stress</t>
        </is>
      </c>
      <c r="B11" s="13">
        <f>'Model inputs'!B8-'Model inputs'!B26</f>
        <v>0.82787</v>
      </c>
    </row>
    <row r="12">
      <c r="A12" t="inlineStr" s="12">
        <is>
          <t xml:space="preserve">Modeled monthly gross profit · Base</t>
        </is>
      </c>
      <c r="B12" s="8">
        <f>'Scenario comparison'!B6-'Scenario comparison'!B7</f>
        <v>82.787</v>
      </c>
    </row>
    <row r="13">
      <c r="A13" t="inlineStr" s="12">
        <is>
          <t xml:space="preserve">Modeled monthly gross profit · Growth</t>
        </is>
      </c>
      <c r="B13" s="8">
        <f>'Scenario comparison'!C6-'Scenario comparison'!C7</f>
        <v>827.87</v>
      </c>
    </row>
    <row r="14">
      <c r="A14" t="inlineStr" s="12">
        <is>
          <t xml:space="preserve">Modeled monthly gross profit · Low-volume stress</t>
        </is>
      </c>
      <c r="B14" s="8">
        <f>'Scenario comparison'!D6-'Scenario comparison'!D7</f>
        <v>8.2787</v>
      </c>
    </row>
    <row r="15">
      <c r="A15" t="inlineStr" s="12">
        <is>
          <t xml:space="preserve">Monthly hosting · Base</t>
        </is>
      </c>
      <c r="B15" s="14">
        <f>15</f>
        <v>15</v>
      </c>
    </row>
    <row r="16">
      <c r="A16" t="inlineStr" s="12">
        <is>
          <t xml:space="preserve">Monthly hosting · Growth</t>
        </is>
      </c>
      <c r="B16" s="14">
        <f>15</f>
        <v>15</v>
      </c>
    </row>
    <row r="17">
      <c r="A17" t="inlineStr" s="12">
        <is>
          <t xml:space="preserve">Monthly hosting · Low-volume stress</t>
        </is>
      </c>
      <c r="B17" s="14">
        <f>15</f>
        <v>15</v>
      </c>
    </row>
    <row r="18">
      <c r="A18" t="inlineStr" s="12">
        <is>
          <t xml:space="preserve">Monthly monitoring · Base</t>
        </is>
      </c>
      <c r="B18" s="14">
        <f>0</f>
        <v>0</v>
      </c>
    </row>
    <row r="19">
      <c r="A19" t="inlineStr" s="12">
        <is>
          <t xml:space="preserve">Monthly monitoring · Growth</t>
        </is>
      </c>
      <c r="B19" s="14">
        <f>0</f>
        <v>0</v>
      </c>
    </row>
    <row r="20">
      <c r="A20" t="inlineStr" s="12">
        <is>
          <t xml:space="preserve">Monthly monitoring · Low-volume stress</t>
        </is>
      </c>
      <c r="B20" s="14">
        <f>0</f>
        <v>0</v>
      </c>
    </row>
    <row r="21">
      <c r="A21" t="inlineStr" s="12">
        <is>
          <t xml:space="preserve">Starting cash · Base</t>
        </is>
      </c>
      <c r="B21" s="14">
        <f>2000</f>
        <v>2000</v>
      </c>
    </row>
    <row r="22">
      <c r="A22" t="inlineStr" s="12">
        <is>
          <t xml:space="preserve">Starting cash · Growth</t>
        </is>
      </c>
      <c r="B22" s="14">
        <f>2000</f>
        <v>2000</v>
      </c>
    </row>
    <row r="23">
      <c r="A23" t="inlineStr" s="12">
        <is>
          <t xml:space="preserve">Starting cash · Low-volume stress</t>
        </is>
      </c>
      <c r="B23" s="14">
        <f>2000</f>
        <v>2000</v>
      </c>
    </row>
    <row r="24">
      <c r="A24" t="inlineStr" s="12">
        <is>
          <t xml:space="preserve">Variable cost per briefing · Base</t>
        </is>
      </c>
      <c r="B24" s="13">
        <f>'Model inputs'!B27+'Model inputs'!B30</f>
        <v>0.05213</v>
      </c>
    </row>
    <row r="25">
      <c r="A25" t="inlineStr" s="12">
        <is>
          <t xml:space="preserve">Variable cost per briefing · Growth</t>
        </is>
      </c>
      <c r="B25" s="13">
        <f>'Model inputs'!B28+'Model inputs'!B31</f>
        <v>0.05213</v>
      </c>
    </row>
    <row r="26">
      <c r="A26" t="inlineStr" s="12">
        <is>
          <t xml:space="preserve">Variable cost per briefing · Low-volume stress</t>
        </is>
      </c>
      <c r="B26" s="13">
        <f>'Model inputs'!B29+'Model inputs'!B32</f>
        <v>0.05213</v>
      </c>
    </row>
    <row r="27">
      <c r="A27" t="inlineStr" s="12">
        <is>
          <t xml:space="preserve">API cost per briefing · Base</t>
        </is>
      </c>
      <c r="B27" s="13">
        <f>'Model inputs'!B51*'Model inputs'!B54*'Model inputs'!B57</f>
        <v>0.052000000000000005</v>
      </c>
    </row>
    <row r="28">
      <c r="A28" t="inlineStr" s="12">
        <is>
          <t xml:space="preserve">API cost per briefing · Growth</t>
        </is>
      </c>
      <c r="B28" s="13">
        <f>'Model inputs'!B52*'Model inputs'!B55*'Model inputs'!B58</f>
        <v>0.052000000000000005</v>
      </c>
    </row>
    <row r="29">
      <c r="A29" t="inlineStr" s="12">
        <is>
          <t xml:space="preserve">API cost per briefing · Low-volume stress</t>
        </is>
      </c>
      <c r="B29" s="13">
        <f>'Model inputs'!B53*'Model inputs'!B56*'Model inputs'!B59</f>
        <v>0.052000000000000005</v>
      </c>
    </row>
    <row r="30">
      <c r="A30" t="inlineStr" s="12">
        <is>
          <t xml:space="preserve">LLM cost per briefing · Base</t>
        </is>
      </c>
      <c r="B30" s="13">
        <f>'Model inputs'!B60*'Model inputs'!B57</f>
        <v>0.00013000000000000002</v>
      </c>
    </row>
    <row r="31">
      <c r="A31" t="inlineStr" s="12">
        <is>
          <t xml:space="preserve">LLM cost per briefing · Growth</t>
        </is>
      </c>
      <c r="B31" s="13">
        <f>'Model inputs'!B61*'Model inputs'!B58</f>
        <v>0.00013000000000000002</v>
      </c>
    </row>
    <row r="32">
      <c r="A32" t="inlineStr" s="12">
        <is>
          <t xml:space="preserve">LLM cost per briefing · Low-volume stress</t>
        </is>
      </c>
      <c r="B32" s="13">
        <f>'Model inputs'!B62*'Model inputs'!B59</f>
        <v>0.00013000000000000002</v>
      </c>
    </row>
    <row r="33">
      <c r="A33" t="inlineStr" s="12">
        <is>
          <t xml:space="preserve">Price per briefing</t>
        </is>
      </c>
      <c r="B33" s="15">
        <v>0</v>
      </c>
    </row>
    <row r="34" outlineLevel="1">
      <c r="A34" t="inlineStr" s="16">
        <is>
          <t xml:space="preserve">Price per briefing &gt; Business</t>
        </is>
      </c>
      <c r="B34" s="8">
        <f>2.2</f>
        <v>2.2</v>
      </c>
    </row>
    <row r="35" outlineLevel="1">
      <c r="A35" t="inlineStr" s="16">
        <is>
          <t xml:space="preserve">Price per briefing &gt; Student</t>
        </is>
      </c>
      <c r="B35" s="8">
        <f>0.55</f>
        <v>0.55</v>
      </c>
    </row>
    <row r="36">
      <c r="A36" t="inlineStr" s="12">
        <is>
          <t xml:space="preserve">Price per briefing</t>
        </is>
      </c>
      <c r="B36" s="15">
        <v>0</v>
      </c>
    </row>
    <row r="37" outlineLevel="1">
      <c r="A37" t="inlineStr" s="16">
        <is>
          <t xml:space="preserve">Price per briefing &gt; Business</t>
        </is>
      </c>
      <c r="B37" s="8">
        <f>2.2</f>
        <v>2.2</v>
      </c>
    </row>
    <row r="38" outlineLevel="1">
      <c r="A38" t="inlineStr" s="16">
        <is>
          <t xml:space="preserve">Price per briefing &gt; Student</t>
        </is>
      </c>
      <c r="B38" s="8">
        <f>0.55</f>
        <v>0.55</v>
      </c>
    </row>
    <row r="39">
      <c r="A39" t="inlineStr" s="12">
        <is>
          <t xml:space="preserve">Price per briefing</t>
        </is>
      </c>
      <c r="B39" s="15">
        <v>0</v>
      </c>
    </row>
    <row r="40" outlineLevel="1">
      <c r="A40" t="inlineStr" s="16">
        <is>
          <t xml:space="preserve">Price per briefing &gt; Business</t>
        </is>
      </c>
      <c r="B40" s="8">
        <f>2.2</f>
        <v>2.2</v>
      </c>
    </row>
    <row r="41" outlineLevel="1">
      <c r="A41" t="inlineStr" s="16">
        <is>
          <t xml:space="preserve">Price per briefing &gt; Student</t>
        </is>
      </c>
      <c r="B41" s="8">
        <f>0.55</f>
        <v>0.55</v>
      </c>
    </row>
    <row r="42">
      <c r="A42" t="inlineStr" s="12">
        <is>
          <t xml:space="preserve">Volume mix</t>
        </is>
      </c>
      <c r="B42" s="17">
        <v>0</v>
      </c>
    </row>
    <row r="43" outlineLevel="1">
      <c r="A43" t="inlineStr" s="16">
        <is>
          <t xml:space="preserve">Volume mix &gt; Business</t>
        </is>
      </c>
      <c r="B43" s="18">
        <f>1-'Model inputs'!B44</f>
        <v>0.19999999999999996</v>
      </c>
    </row>
    <row r="44" outlineLevel="1">
      <c r="A44" t="inlineStr" s="16">
        <is>
          <t xml:space="preserve">Volume mix &gt; Student</t>
        </is>
      </c>
      <c r="B44" s="18">
        <f>0.8</f>
        <v>0.8</v>
      </c>
    </row>
    <row r="45">
      <c r="A45" t="inlineStr" s="12">
        <is>
          <t xml:space="preserve">Volume mix</t>
        </is>
      </c>
      <c r="B45" s="17">
        <v>0</v>
      </c>
    </row>
    <row r="46" outlineLevel="1">
      <c r="A46" t="inlineStr" s="16">
        <is>
          <t xml:space="preserve">Volume mix &gt; Business</t>
        </is>
      </c>
      <c r="B46" s="18">
        <f>1-'Model inputs'!B47</f>
        <v>0.19999999999999996</v>
      </c>
    </row>
    <row r="47" outlineLevel="1">
      <c r="A47" t="inlineStr" s="16">
        <is>
          <t xml:space="preserve">Volume mix &gt; Student</t>
        </is>
      </c>
      <c r="B47" s="18">
        <f>0.8</f>
        <v>0.8</v>
      </c>
    </row>
    <row r="48">
      <c r="A48" t="inlineStr" s="12">
        <is>
          <t xml:space="preserve">Volume mix</t>
        </is>
      </c>
      <c r="B48" s="17">
        <v>0</v>
      </c>
    </row>
    <row r="49" outlineLevel="1">
      <c r="A49" t="inlineStr" s="16">
        <is>
          <t xml:space="preserve">Volume mix &gt; Business</t>
        </is>
      </c>
      <c r="B49" s="18">
        <f>1-'Model inputs'!B50</f>
        <v>0.19999999999999996</v>
      </c>
    </row>
    <row r="50" outlineLevel="1">
      <c r="A50" t="inlineStr" s="16">
        <is>
          <t xml:space="preserve">Volume mix &gt; Student</t>
        </is>
      </c>
      <c r="B50" s="18">
        <f>0.8</f>
        <v>0.8</v>
      </c>
    </row>
    <row r="51">
      <c r="A51" t="inlineStr" s="12">
        <is>
          <t xml:space="preserve">API credit price · Base</t>
        </is>
      </c>
      <c r="B51" s="19">
        <f>0.02</f>
        <v>0.02</v>
      </c>
    </row>
    <row r="52">
      <c r="A52" t="inlineStr" s="12">
        <is>
          <t xml:space="preserve">API credit price · Growth</t>
        </is>
      </c>
      <c r="B52" s="19">
        <f>0.02</f>
        <v>0.02</v>
      </c>
    </row>
    <row r="53">
      <c r="A53" t="inlineStr" s="12">
        <is>
          <t xml:space="preserve">API credit price · Low-volume stress</t>
        </is>
      </c>
      <c r="B53" s="19">
        <f>0.02</f>
        <v>0.02</v>
      </c>
    </row>
    <row r="54">
      <c r="A54" t="inlineStr" s="12">
        <is>
          <t xml:space="preserve">Credits per lookup · Base</t>
        </is>
      </c>
      <c r="B54" s="10">
        <f>2</f>
        <v>2</v>
      </c>
    </row>
    <row r="55">
      <c r="A55" t="inlineStr" s="12">
        <is>
          <t xml:space="preserve">Credits per lookup · Growth</t>
        </is>
      </c>
      <c r="B55" s="10">
        <f>2</f>
        <v>2</v>
      </c>
    </row>
    <row r="56">
      <c r="A56" t="inlineStr" s="12">
        <is>
          <t xml:space="preserve">Credits per lookup · Low-volume stress</t>
        </is>
      </c>
      <c r="B56" s="10">
        <f>2</f>
        <v>2</v>
      </c>
    </row>
    <row r="57">
      <c r="A57" t="inlineStr" s="12">
        <is>
          <t xml:space="preserve">Expected calls per briefing · Base</t>
        </is>
      </c>
      <c r="B57" s="10">
        <f>1+'Model inputs'!B63</f>
        <v>1.3</v>
      </c>
    </row>
    <row r="58">
      <c r="A58" t="inlineStr" s="12">
        <is>
          <t xml:space="preserve">Expected calls per briefing · Growth</t>
        </is>
      </c>
      <c r="B58" s="10">
        <f>1+'Model inputs'!B64</f>
        <v>1.3</v>
      </c>
    </row>
    <row r="59">
      <c r="A59" t="inlineStr" s="12">
        <is>
          <t xml:space="preserve">Expected calls per briefing · Low-volume stress</t>
        </is>
      </c>
      <c r="B59" s="10">
        <f>1+'Model inputs'!B65</f>
        <v>1.3</v>
      </c>
    </row>
    <row r="60">
      <c r="A60" t="inlineStr" s="12">
        <is>
          <t xml:space="preserve">LLM cost per call · Base</t>
        </is>
      </c>
      <c r="B60" s="19">
        <f>0.0001</f>
        <v>0.0001</v>
      </c>
    </row>
    <row r="61">
      <c r="A61" t="inlineStr" s="12">
        <is>
          <t xml:space="preserve">LLM cost per call · Growth</t>
        </is>
      </c>
      <c r="B61" s="19">
        <f>0.0001</f>
        <v>0.0001</v>
      </c>
    </row>
    <row r="62">
      <c r="A62" t="inlineStr" s="12">
        <is>
          <t xml:space="preserve">LLM cost per call · Low-volume stress</t>
        </is>
      </c>
      <c r="B62" s="19">
        <f>0.0001</f>
        <v>0.0001</v>
      </c>
    </row>
    <row r="63">
      <c r="A63" t="inlineStr" s="12">
        <is>
          <t xml:space="preserve">Extra calls per briefing · Base</t>
        </is>
      </c>
      <c r="B63" s="10">
        <f>0.3</f>
        <v>0.3</v>
      </c>
    </row>
    <row r="64">
      <c r="A64" t="inlineStr" s="12">
        <is>
          <t xml:space="preserve">Extra calls per briefing · Growth</t>
        </is>
      </c>
      <c r="B64" s="10">
        <f>0.3</f>
        <v>0.3</v>
      </c>
    </row>
    <row r="65">
      <c r="A65" t="inlineStr" s="12">
        <is>
          <t xml:space="preserve">Extra calls per briefing · Low-volume stress</t>
        </is>
      </c>
      <c r="B65" s="10">
        <f>0.3</f>
        <v>0.3</v>
      </c>
    </row>
    <row r="67">
      <c r="A67" t="inlineStr" s="11">
        <is>
          <t xml:space="preserve">Dimensions</t>
        </is>
      </c>
    </row>
    <row r="68">
      <c r="A68" t="inlineStr" s="12">
        <is>
          <t xml:space="preserve">Customer tier</t>
        </is>
      </c>
      <c r="B68" t="inlineStr" s="20">
        <is>
          <t xml:space="preserve">Business</t>
        </is>
      </c>
      <c r="C68" t="inlineStr" s="20">
        <is>
          <t xml:space="preserve">Student</t>
        </is>
      </c>
    </row>
  </sheetData>
  <mergeCells count="2">
    <mergeCell ref="A1:B1"/>
    <mergeCell ref="A2:B2"/>
  </mergeCells>
</worksheet>
</file>